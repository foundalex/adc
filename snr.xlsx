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Netlist\ITGLOBAL\wi_fi\adc_git\"/>
    </mc:Choice>
  </mc:AlternateContent>
  <xr:revisionPtr revIDLastSave="0" documentId="13_ncr:1_{256DFE39-9D47-419B-8956-4B9F45E83A9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" i="1"/>
  <c r="B2" i="1"/>
  <c r="C2" i="1" s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" i="1"/>
  <c r="C1" i="1" s="1"/>
</calcChain>
</file>

<file path=xl/sharedStrings.xml><?xml version="1.0" encoding="utf-8"?>
<sst xmlns="http://schemas.openxmlformats.org/spreadsheetml/2006/main" count="5" uniqueCount="5">
  <si>
    <t>Разрядность, кол-во бит</t>
  </si>
  <si>
    <t>Диапазон значений</t>
  </si>
  <si>
    <t>20*log10(N+1)</t>
  </si>
  <si>
    <t>20*log10(2^N*sqrt(3/2))</t>
  </si>
  <si>
    <t>6.02 * N + 1.76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</si>
</sst>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D12" sqref="D12"/>
    </sheetView>
  </sheetViews>
  <sheetFormatPr defaultRowHeight="15" x14ac:dyDescent="0.25"/>
  <cols>
    <col min="1" max="1" width="24.85546875" customWidth="1"/>
    <col min="2" max="2" width="19.7109375" customWidth="1"/>
    <col min="3" max="3" width="19.42578125" customWidth="1"/>
    <col min="4" max="4" width="26" customWidth="1"/>
    <col min="5" max="5" width="15.5703125" customWidth="1"/>
  </cols>
  <sheetData>
    <row r="1" spans="1:5" x14ac:dyDescent="0.25">
      <c r="A1">
        <v>1</v>
      </c>
      <c r="B1">
        <f>2^A1</f>
        <v>2</v>
      </c>
      <c r="C1">
        <f>20*LOG10(B1+1)</f>
        <v>9.5424250943932485</v>
      </c>
      <c r="D1">
        <f>20*LOG10(2^A1*SQRT(3/2))</f>
        <v>7.781512503836435</v>
      </c>
      <c r="E1">
        <f>6.02*A1+1.76</f>
        <v>7.7799999999999994</v>
      </c>
    </row>
    <row r="2" spans="1:5" x14ac:dyDescent="0.25">
      <c r="A2">
        <v>2</v>
      </c>
      <c r="B2">
        <f t="shared" ref="B2:B16" si="0">2^A2</f>
        <v>4</v>
      </c>
      <c r="C2">
        <f t="shared" ref="C2:C16" si="1">20*LOG10(B2+1)</f>
        <v>13.979400086720377</v>
      </c>
      <c r="D2">
        <f t="shared" ref="D2:D16" si="2">20*LOG10(2^A2*SQRT(3/2))</f>
        <v>13.80211241711606</v>
      </c>
      <c r="E2">
        <f t="shared" ref="E2:E16" si="3">6.02*A2+1.76</f>
        <v>13.799999999999999</v>
      </c>
    </row>
    <row r="3" spans="1:5" x14ac:dyDescent="0.25">
      <c r="A3">
        <v>3</v>
      </c>
      <c r="B3">
        <f t="shared" si="0"/>
        <v>8</v>
      </c>
      <c r="C3">
        <f t="shared" si="1"/>
        <v>19.084850188786497</v>
      </c>
      <c r="D3">
        <f t="shared" si="2"/>
        <v>19.822712330395685</v>
      </c>
      <c r="E3">
        <f t="shared" si="3"/>
        <v>19.82</v>
      </c>
    </row>
    <row r="4" spans="1:5" x14ac:dyDescent="0.25">
      <c r="A4">
        <v>4</v>
      </c>
      <c r="B4">
        <f t="shared" si="0"/>
        <v>16</v>
      </c>
      <c r="C4">
        <f t="shared" si="1"/>
        <v>24.608978427565479</v>
      </c>
      <c r="D4">
        <f t="shared" si="2"/>
        <v>25.84331224367531</v>
      </c>
      <c r="E4">
        <f t="shared" si="3"/>
        <v>25.84</v>
      </c>
    </row>
    <row r="5" spans="1:5" x14ac:dyDescent="0.25">
      <c r="A5">
        <v>5</v>
      </c>
      <c r="B5">
        <f t="shared" si="0"/>
        <v>32</v>
      </c>
      <c r="C5">
        <f t="shared" si="1"/>
        <v>30.370278797557752</v>
      </c>
      <c r="D5">
        <f t="shared" si="2"/>
        <v>31.863912156954932</v>
      </c>
      <c r="E5">
        <f t="shared" si="3"/>
        <v>31.86</v>
      </c>
    </row>
    <row r="6" spans="1:5" x14ac:dyDescent="0.25">
      <c r="A6">
        <v>6</v>
      </c>
      <c r="B6">
        <f t="shared" si="0"/>
        <v>64</v>
      </c>
      <c r="C6">
        <f t="shared" si="1"/>
        <v>36.258267132857107</v>
      </c>
      <c r="D6">
        <f t="shared" si="2"/>
        <v>37.884512070234557</v>
      </c>
      <c r="E6">
        <f t="shared" si="3"/>
        <v>37.879999999999995</v>
      </c>
    </row>
    <row r="7" spans="1:5" x14ac:dyDescent="0.25">
      <c r="A7">
        <v>7</v>
      </c>
      <c r="B7">
        <f t="shared" si="0"/>
        <v>128</v>
      </c>
      <c r="C7">
        <f t="shared" si="1"/>
        <v>42.211794205984972</v>
      </c>
      <c r="D7">
        <f t="shared" si="2"/>
        <v>43.905111983514182</v>
      </c>
      <c r="E7">
        <f t="shared" si="3"/>
        <v>43.9</v>
      </c>
    </row>
    <row r="8" spans="1:5" x14ac:dyDescent="0.25">
      <c r="A8">
        <v>8</v>
      </c>
      <c r="B8">
        <f t="shared" si="0"/>
        <v>256</v>
      </c>
      <c r="C8">
        <f t="shared" si="1"/>
        <v>48.19866246662589</v>
      </c>
      <c r="D8">
        <f t="shared" si="2"/>
        <v>49.925711896793807</v>
      </c>
      <c r="E8">
        <f t="shared" si="3"/>
        <v>49.919999999999995</v>
      </c>
    </row>
    <row r="9" spans="1:5" x14ac:dyDescent="0.25">
      <c r="A9">
        <v>9</v>
      </c>
      <c r="B9">
        <f t="shared" si="0"/>
        <v>512</v>
      </c>
      <c r="C9">
        <f t="shared" si="1"/>
        <v>54.202347302236326</v>
      </c>
      <c r="D9">
        <f t="shared" si="2"/>
        <v>55.946311810073432</v>
      </c>
      <c r="E9">
        <f t="shared" si="3"/>
        <v>55.939999999999991</v>
      </c>
    </row>
    <row r="10" spans="1:5" x14ac:dyDescent="0.25">
      <c r="A10">
        <v>10</v>
      </c>
      <c r="B10">
        <f t="shared" si="0"/>
        <v>1024</v>
      </c>
      <c r="C10">
        <f t="shared" si="1"/>
        <v>60.214477307835459</v>
      </c>
      <c r="D10">
        <f t="shared" si="2"/>
        <v>61.96691172335305</v>
      </c>
      <c r="E10">
        <f t="shared" si="3"/>
        <v>61.959999999999994</v>
      </c>
    </row>
    <row r="11" spans="1:5" x14ac:dyDescent="0.25">
      <c r="A11">
        <v>11</v>
      </c>
      <c r="B11">
        <f t="shared" si="0"/>
        <v>2048</v>
      </c>
      <c r="C11">
        <f t="shared" si="1"/>
        <v>66.230839168023891</v>
      </c>
      <c r="D11">
        <f t="shared" si="2"/>
        <v>67.987511636632675</v>
      </c>
      <c r="E11">
        <f t="shared" si="3"/>
        <v>67.98</v>
      </c>
    </row>
    <row r="12" spans="1:5" x14ac:dyDescent="0.25">
      <c r="A12">
        <v>12</v>
      </c>
      <c r="B12">
        <f t="shared" si="0"/>
        <v>4096</v>
      </c>
      <c r="C12">
        <f t="shared" si="1"/>
        <v>72.249319279062846</v>
      </c>
      <c r="D12">
        <f t="shared" si="2"/>
        <v>74.0081115499123</v>
      </c>
      <c r="E12">
        <f t="shared" si="3"/>
        <v>74</v>
      </c>
    </row>
    <row r="13" spans="1:5" x14ac:dyDescent="0.25">
      <c r="A13">
        <v>13</v>
      </c>
      <c r="B13">
        <f t="shared" si="0"/>
        <v>8192</v>
      </c>
      <c r="C13">
        <f t="shared" si="1"/>
        <v>78.268859097187914</v>
      </c>
      <c r="D13">
        <f t="shared" si="2"/>
        <v>80.028711463191925</v>
      </c>
      <c r="E13">
        <f t="shared" si="3"/>
        <v>80.02</v>
      </c>
    </row>
    <row r="14" spans="1:5" x14ac:dyDescent="0.25">
      <c r="A14">
        <v>14</v>
      </c>
      <c r="B14">
        <f t="shared" si="0"/>
        <v>16384</v>
      </c>
      <c r="C14">
        <f t="shared" si="1"/>
        <v>84.288928914367887</v>
      </c>
      <c r="D14">
        <f t="shared" si="2"/>
        <v>86.04931137647155</v>
      </c>
      <c r="E14">
        <f t="shared" si="3"/>
        <v>86.04</v>
      </c>
    </row>
    <row r="15" spans="1:5" x14ac:dyDescent="0.25">
      <c r="A15">
        <v>15</v>
      </c>
      <c r="B15">
        <f t="shared" si="0"/>
        <v>32768</v>
      </c>
      <c r="C15">
        <f t="shared" si="1"/>
        <v>90.309263767465367</v>
      </c>
      <c r="D15">
        <f t="shared" si="2"/>
        <v>92.069911289751175</v>
      </c>
      <c r="E15">
        <f t="shared" si="3"/>
        <v>92.06</v>
      </c>
    </row>
    <row r="16" spans="1:5" x14ac:dyDescent="0.25">
      <c r="A16">
        <v>16</v>
      </c>
      <c r="B16">
        <f t="shared" si="0"/>
        <v>65536</v>
      </c>
      <c r="C16">
        <f t="shared" si="1"/>
        <v>96.329731147620635</v>
      </c>
      <c r="D16">
        <f t="shared" si="2"/>
        <v>98.0905112030308</v>
      </c>
      <c r="E16">
        <f t="shared" si="3"/>
        <v>98.08</v>
      </c>
    </row>
    <row r="17" spans="1:5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Александр Лапин</cp:lastModifiedBy>
  <dcterms:created xsi:type="dcterms:W3CDTF">2015-06-05T18:17:20Z</dcterms:created>
  <dcterms:modified xsi:type="dcterms:W3CDTF">2025-11-18T15:41:35Z</dcterms:modified>
</cp:coreProperties>
</file>